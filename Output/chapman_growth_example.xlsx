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pm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<sst xmlns="http://schemas.openxmlformats.org/spreadsheetml/2006/main" count="7" uniqueCount="7">
  <si>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How does the Chapman growth function work?</t>
  </si>
  <si>
    <t xml:space="preserve">A</t>
  </si>
  <si>
    <t xml:space="preserve">Limit of growth</t>
  </si>
  <si>
    <t xml:space="preserve">k</t>
  </si>
  <si>
    <t xml:space="preserve">% rate of growth</t>
  </si>
  <si>
    <t xml:space="preserve">Period</t>
  </si>
  <si>
    <t xml:space="preserve">Cumulative growth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</si>
</sst>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A0A0A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595736700631369"/>
          <c:y val="0.0419584305879738"/>
          <c:w val="0.892292304807151"/>
          <c:h val="0.866177614760476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Chapman!$B$7:$B$33</c:f>
              <c:numCache>
                <c:formatCode>#,##0.00</c:formatCode>
                <c:ptCount val="27"/>
                <c:pt idx="0">
                  <c:v>0</c:v>
                </c:pt>
                <c:pt idx="1">
                  <c:v>15.9830560357491</c:v>
                </c:pt>
                <c:pt idx="2">
                  <c:v>29.9058028966204</c:v>
                </c:pt>
                <c:pt idx="3">
                  <c:v>36.1161846176375</c:v>
                </c:pt>
                <c:pt idx="4">
                  <c:v>38.5481673940174</c:v>
                </c:pt>
                <c:pt idx="5">
                  <c:v>39.4627802372637</c:v>
                </c:pt>
                <c:pt idx="6">
                  <c:v>39.8019455943608</c:v>
                </c:pt>
                <c:pt idx="7">
                  <c:v>39.9270827039044</c:v>
                </c:pt>
                <c:pt idx="8">
                  <c:v>39.9731674911748</c:v>
                </c:pt>
                <c:pt idx="9">
                  <c:v>39.9901278248723</c:v>
                </c:pt>
                <c:pt idx="10">
                  <c:v>39.9963680880652</c:v>
                </c:pt>
                <c:pt idx="11">
                  <c:v>39.9986638750947</c:v>
                </c:pt>
                <c:pt idx="12">
                  <c:v>39.9995084645218</c:v>
                </c:pt>
                <c:pt idx="13">
                  <c:v>39.9998191738518</c:v>
                </c:pt>
                <c:pt idx="14">
                  <c:v>39.9999334777301</c:v>
                </c:pt>
                <c:pt idx="15">
                  <c:v>39.9999755278181</c:v>
                </c:pt>
                <c:pt idx="16">
                  <c:v>39.9999909971865</c:v>
                </c:pt>
                <c:pt idx="17">
                  <c:v>39.9999966880499</c:v>
                </c:pt>
                <c:pt idx="18">
                  <c:v>39.9999987816016</c:v>
                </c:pt>
                <c:pt idx="19">
                  <c:v>39.9999995517763</c:v>
                </c:pt>
                <c:pt idx="20">
                  <c:v>39.9999998351077</c:v>
                </c:pt>
                <c:pt idx="21">
                  <c:v>39.9999999393395</c:v>
                </c:pt>
                <c:pt idx="22">
                  <c:v>39.9999999776843</c:v>
                </c:pt>
                <c:pt idx="23">
                  <c:v>39.9999999917905</c:v>
                </c:pt>
                <c:pt idx="24">
                  <c:v>39.9999999969799</c:v>
                </c:pt>
                <c:pt idx="25">
                  <c:v>39.999999998889</c:v>
                </c:pt>
                <c:pt idx="26">
                  <c:v>39.9999999995913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Chapman!$C$7:$C$33</c:f>
              <c:numCache>
                <c:formatCode>#,##0.00</c:formatCode>
                <c:ptCount val="27"/>
                <c:pt idx="0">
                  <c:v>0</c:v>
                </c:pt>
                <c:pt idx="1">
                  <c:v>0.00396023233676776</c:v>
                </c:pt>
                <c:pt idx="2">
                  <c:v>0.0156837015525043</c:v>
                </c:pt>
                <c:pt idx="3">
                  <c:v>0.0349386594892943</c:v>
                </c:pt>
                <c:pt idx="4">
                  <c:v>0.0614987232795747</c:v>
                </c:pt>
                <c:pt idx="5">
                  <c:v>0.0951427613812622</c:v>
                </c:pt>
                <c:pt idx="6">
                  <c:v>0.135654781946404</c:v>
                </c:pt>
                <c:pt idx="7">
                  <c:v>0.182823823476374</c:v>
                </c:pt>
                <c:pt idx="8">
                  <c:v>0.236443847717591</c:v>
                </c:pt>
                <c:pt idx="9">
                  <c:v>0.296313634752626</c:v>
                </c:pt>
                <c:pt idx="10">
                  <c:v>0.362236680242509</c:v>
                </c:pt>
                <c:pt idx="11">
                  <c:v>0.43402109477688</c:v>
                </c:pt>
                <c:pt idx="12">
                  <c:v>0.511479505289536</c:v>
                </c:pt>
                <c:pt idx="13">
                  <c:v>0.594428958497746</c:v>
                </c:pt>
                <c:pt idx="14">
                  <c:v>0.682690826324553</c:v>
                </c:pt>
                <c:pt idx="15">
                  <c:v>0.77609071326409</c:v>
                </c:pt>
                <c:pt idx="16">
                  <c:v>0.87445836565073</c:v>
                </c:pt>
                <c:pt idx="17">
                  <c:v>0.977627582793694</c:v>
                </c:pt>
                <c:pt idx="18">
                  <c:v>1.08543612993948</c:v>
                </c:pt>
                <c:pt idx="19">
                  <c:v>1.19772565302525</c:v>
                </c:pt>
                <c:pt idx="20">
                  <c:v>1.31434159518702</c:v>
                </c:pt>
                <c:pt idx="21">
                  <c:v>1.4351331149873</c:v>
                </c:pt>
                <c:pt idx="22">
                  <c:v>1.55995300632738</c:v>
                </c:pt>
                <c:pt idx="23">
                  <c:v>1.68865762001032</c:v>
                </c:pt>
                <c:pt idx="24">
                  <c:v>1.82110678692136</c:v>
                </c:pt>
                <c:pt idx="25">
                  <c:v>1.95716374279295</c:v>
                </c:pt>
                <c:pt idx="26">
                  <c:v>2.09669505452247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1858931"/>
        <c:axId val="70442787"/>
      </c:lineChart>
      <c:catAx>
        <c:axId val="3185893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0442787"/>
        <c:crosses val="autoZero"/>
        <c:auto val="1"/>
        <c:lblAlgn val="ctr"/>
        <c:lblOffset val="100"/>
        <c:noMultiLvlLbl val="0"/>
      </c:catAx>
      <c:valAx>
        <c:axId val="70442787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185893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602237919609927"/>
          <c:y val="0.442036234300322"/>
          <c:w val="0.166406201162718"/>
          <c:h val="0.19139713237745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569880</xdr:colOff>
      <xdr:row>11</xdr:row>
      <xdr:rowOff>189000</xdr:rowOff>
    </xdr:from>
    <xdr:to>
      <xdr:col>13</xdr:col>
      <xdr:colOff>372600</xdr:colOff>
      <xdr:row>28</xdr:row>
      <xdr:rowOff>189360</xdr:rowOff>
    </xdr:to>
    <xdr:graphicFrame>
      <xdr:nvGraphicFramePr>
        <xdr:cNvPr id="1" name=""/>
        <xdr:cNvGraphicFramePr/>
      </xdr:nvGraphicFramePr>
      <xdr:xfrm>
        <a:off x="2356920" y="228456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5" activeCellId="0" sqref="L5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/>
    <row r="3" customFormat="false" ht="15" hidden="false" customHeight="false" outlineLevel="0" collapsed="false">
      <c r="A3" s="2" t="s">
        <v>1</v>
      </c>
      <c r="B3" s="1" t="n">
        <v>40</v>
      </c>
      <c r="C3" s="1" t="n">
        <v>40</v>
      </c>
      <c r="D3" s="0" t="s">
        <v>2</v>
      </c>
    </row>
    <row r="4" customFormat="false" ht="15" hidden="false" customHeight="false" outlineLevel="0" collapsed="false">
      <c r="A4" s="2" t="s">
        <v>3</v>
      </c>
      <c r="B4" s="1" t="n">
        <v>1</v>
      </c>
      <c r="C4" s="1" t="n">
        <v>0.01</v>
      </c>
      <c r="D4" s="0" t="s">
        <v>4</v>
      </c>
    </row>
    <row r="5" customFormat="false" ht="15" hidden="false" customHeight="false" outlineLevel="0" collapsed="false">
      <c r="A5" s="1"/>
      <c r="B5" s="1"/>
      <c r="C5" s="1"/>
    </row>
    <row r="6" customFormat="false" ht="15" hidden="false" customHeight="false" outlineLevel="0" collapsed="false">
      <c r="A6" s="2" t="s">
        <v>5</v>
      </c>
      <c r="B6" s="1" t="s">
        <v>6</v>
      </c>
      <c r="C6" s="1"/>
    </row>
    <row r="7" customFormat="false" ht="15" hidden="false" customHeight="false" outlineLevel="0" collapsed="false">
      <c r="A7" s="1" t="n">
        <v>0</v>
      </c>
      <c r="B7" s="3" t="n">
        <f aca="false">B$3*(1-EXP(-B$4*$A7))^2</f>
        <v>0</v>
      </c>
      <c r="C7" s="3" t="n">
        <f aca="false">C$3*(1-EXP(-C$4*$A7))^2</f>
        <v>0</v>
      </c>
    </row>
    <row r="8" customFormat="false" ht="15" hidden="false" customHeight="false" outlineLevel="0" collapsed="false">
      <c r="A8" s="1" t="n">
        <v>1</v>
      </c>
      <c r="B8" s="3" t="n">
        <f aca="false">B$3*(1-EXP(-B$4*$A8))^2</f>
        <v>15.9830560357491</v>
      </c>
      <c r="C8" s="3" t="n">
        <f aca="false">C$3*(1-EXP(-C$4*$A8))^2</f>
        <v>0.00396023233676776</v>
      </c>
    </row>
    <row r="9" customFormat="false" ht="15" hidden="false" customHeight="false" outlineLevel="0" collapsed="false">
      <c r="A9" s="1" t="n">
        <v>2</v>
      </c>
      <c r="B9" s="3" t="n">
        <f aca="false">B$3*(1-EXP(-B$4*$A9))^2</f>
        <v>29.9058028966204</v>
      </c>
      <c r="C9" s="3" t="n">
        <f aca="false">C$3*(1-EXP(-C$4*$A9))^2</f>
        <v>0.0156837015525043</v>
      </c>
    </row>
    <row r="10" customFormat="false" ht="15" hidden="false" customHeight="false" outlineLevel="0" collapsed="false">
      <c r="A10" s="1" t="n">
        <v>3</v>
      </c>
      <c r="B10" s="3" t="n">
        <f aca="false">B$3*(1-EXP(-B$4*$A10))^2</f>
        <v>36.1161846176375</v>
      </c>
      <c r="C10" s="3" t="n">
        <f aca="false">C$3*(1-EXP(-C$4*$A10))^2</f>
        <v>0.0349386594892943</v>
      </c>
    </row>
    <row r="11" customFormat="false" ht="15" hidden="false" customHeight="false" outlineLevel="0" collapsed="false">
      <c r="A11" s="1" t="n">
        <v>4</v>
      </c>
      <c r="B11" s="3" t="n">
        <f aca="false">B$3*(1-EXP(-B$4*$A11))^2</f>
        <v>38.5481673940174</v>
      </c>
      <c r="C11" s="3" t="n">
        <f aca="false">C$3*(1-EXP(-C$4*$A11))^2</f>
        <v>0.0614987232795747</v>
      </c>
    </row>
    <row r="12" customFormat="false" ht="15" hidden="false" customHeight="false" outlineLevel="0" collapsed="false">
      <c r="A12" s="1" t="n">
        <v>5</v>
      </c>
      <c r="B12" s="3" t="n">
        <f aca="false">B$3*(1-EXP(-B$4*$A12))^2</f>
        <v>39.4627802372637</v>
      </c>
      <c r="C12" s="3" t="n">
        <f aca="false">C$3*(1-EXP(-C$4*$A12))^2</f>
        <v>0.0951427613812622</v>
      </c>
    </row>
    <row r="13" customFormat="false" ht="15" hidden="false" customHeight="false" outlineLevel="0" collapsed="false">
      <c r="A13" s="1" t="n">
        <v>6</v>
      </c>
      <c r="B13" s="3" t="n">
        <f aca="false">B$3*(1-EXP(-B$4*$A13))^2</f>
        <v>39.8019455943608</v>
      </c>
      <c r="C13" s="3" t="n">
        <f aca="false">C$3*(1-EXP(-C$4*$A13))^2</f>
        <v>0.135654781946404</v>
      </c>
    </row>
    <row r="14" customFormat="false" ht="15" hidden="false" customHeight="false" outlineLevel="0" collapsed="false">
      <c r="A14" s="1" t="n">
        <v>7</v>
      </c>
      <c r="B14" s="3" t="n">
        <f aca="false">B$3*(1-EXP(-B$4*$A14))^2</f>
        <v>39.9270827039044</v>
      </c>
      <c r="C14" s="3" t="n">
        <f aca="false">C$3*(1-EXP(-C$4*$A14))^2</f>
        <v>0.182823823476374</v>
      </c>
    </row>
    <row r="15" customFormat="false" ht="15" hidden="false" customHeight="false" outlineLevel="0" collapsed="false">
      <c r="A15" s="1" t="n">
        <v>8</v>
      </c>
      <c r="B15" s="3" t="n">
        <f aca="false">B$3*(1-EXP(-B$4*$A15))^2</f>
        <v>39.9731674911748</v>
      </c>
      <c r="C15" s="3" t="n">
        <f aca="false">C$3*(1-EXP(-C$4*$A15))^2</f>
        <v>0.236443847717591</v>
      </c>
    </row>
    <row r="16" customFormat="false" ht="15" hidden="false" customHeight="false" outlineLevel="0" collapsed="false">
      <c r="A16" s="1" t="n">
        <v>9</v>
      </c>
      <c r="B16" s="3" t="n">
        <f aca="false">B$3*(1-EXP(-B$4*$A16))^2</f>
        <v>39.9901278248723</v>
      </c>
      <c r="C16" s="3" t="n">
        <f aca="false">C$3*(1-EXP(-C$4*$A16))^2</f>
        <v>0.296313634752626</v>
      </c>
    </row>
    <row r="17" customFormat="false" ht="15" hidden="false" customHeight="false" outlineLevel="0" collapsed="false">
      <c r="A17" s="1" t="n">
        <v>10</v>
      </c>
      <c r="B17" s="3" t="n">
        <f aca="false">B$3*(1-EXP(-B$4*$A17))^2</f>
        <v>39.9963680880652</v>
      </c>
      <c r="C17" s="3" t="n">
        <f aca="false">C$3*(1-EXP(-C$4*$A17))^2</f>
        <v>0.362236680242509</v>
      </c>
    </row>
    <row r="18" customFormat="false" ht="15" hidden="false" customHeight="false" outlineLevel="0" collapsed="false">
      <c r="A18" s="1" t="n">
        <v>11</v>
      </c>
      <c r="B18" s="3" t="n">
        <f aca="false">B$3*(1-EXP(-B$4*$A18))^2</f>
        <v>39.9986638750947</v>
      </c>
      <c r="C18" s="3" t="n">
        <f aca="false">C$3*(1-EXP(-C$4*$A18))^2</f>
        <v>0.43402109477688</v>
      </c>
    </row>
    <row r="19" customFormat="false" ht="15" hidden="false" customHeight="false" outlineLevel="0" collapsed="false">
      <c r="A19" s="1" t="n">
        <v>12</v>
      </c>
      <c r="B19" s="3" t="n">
        <f aca="false">B$3*(1-EXP(-B$4*$A19))^2</f>
        <v>39.9995084645218</v>
      </c>
      <c r="C19" s="3" t="n">
        <f aca="false">C$3*(1-EXP(-C$4*$A19))^2</f>
        <v>0.511479505289536</v>
      </c>
    </row>
    <row r="20" customFormat="false" ht="15" hidden="false" customHeight="false" outlineLevel="0" collapsed="false">
      <c r="A20" s="1" t="n">
        <v>13</v>
      </c>
      <c r="B20" s="3" t="n">
        <f aca="false">B$3*(1-EXP(-B$4*$A20))^2</f>
        <v>39.9998191738518</v>
      </c>
      <c r="C20" s="3" t="n">
        <f aca="false">C$3*(1-EXP(-C$4*$A20))^2</f>
        <v>0.594428958497746</v>
      </c>
    </row>
    <row r="21" customFormat="false" ht="15" hidden="false" customHeight="false" outlineLevel="0" collapsed="false">
      <c r="A21" s="1" t="n">
        <v>14</v>
      </c>
      <c r="B21" s="3" t="n">
        <f aca="false">B$3*(1-EXP(-B$4*$A21))^2</f>
        <v>39.9999334777301</v>
      </c>
      <c r="C21" s="3" t="n">
        <f aca="false">C$3*(1-EXP(-C$4*$A21))^2</f>
        <v>0.682690826324553</v>
      </c>
    </row>
    <row r="22" customFormat="false" ht="15" hidden="false" customHeight="false" outlineLevel="0" collapsed="false">
      <c r="A22" s="1" t="n">
        <v>15</v>
      </c>
      <c r="B22" s="3" t="n">
        <f aca="false">B$3*(1-EXP(-B$4*$A22))^2</f>
        <v>39.9999755278181</v>
      </c>
      <c r="C22" s="3" t="n">
        <f aca="false">C$3*(1-EXP(-C$4*$A22))^2</f>
        <v>0.77609071326409</v>
      </c>
    </row>
    <row r="23" customFormat="false" ht="15" hidden="false" customHeight="false" outlineLevel="0" collapsed="false">
      <c r="A23" s="1" t="n">
        <v>16</v>
      </c>
      <c r="B23" s="3" t="n">
        <f aca="false">B$3*(1-EXP(-B$4*$A23))^2</f>
        <v>39.9999909971865</v>
      </c>
      <c r="C23" s="3" t="n">
        <f aca="false">C$3*(1-EXP(-C$4*$A23))^2</f>
        <v>0.87445836565073</v>
      </c>
    </row>
    <row r="24" customFormat="false" ht="15" hidden="false" customHeight="false" outlineLevel="0" collapsed="false">
      <c r="A24" s="1" t="n">
        <v>17</v>
      </c>
      <c r="B24" s="3" t="n">
        <f aca="false">B$3*(1-EXP(-B$4*$A24))^2</f>
        <v>39.9999966880499</v>
      </c>
      <c r="C24" s="3" t="n">
        <f aca="false">C$3*(1-EXP(-C$4*$A24))^2</f>
        <v>0.977627582793694</v>
      </c>
    </row>
    <row r="25" customFormat="false" ht="15" hidden="false" customHeight="false" outlineLevel="0" collapsed="false">
      <c r="A25" s="1" t="n">
        <v>18</v>
      </c>
      <c r="B25" s="3" t="n">
        <f aca="false">B$3*(1-EXP(-B$4*$A25))^2</f>
        <v>39.9999987816016</v>
      </c>
      <c r="C25" s="3" t="n">
        <f aca="false">C$3*(1-EXP(-C$4*$A25))^2</f>
        <v>1.08543612993948</v>
      </c>
    </row>
    <row r="26" customFormat="false" ht="15" hidden="false" customHeight="false" outlineLevel="0" collapsed="false">
      <c r="A26" s="1" t="n">
        <v>19</v>
      </c>
      <c r="B26" s="3" t="n">
        <f aca="false">B$3*(1-EXP(-B$4*$A26))^2</f>
        <v>39.9999995517763</v>
      </c>
      <c r="C26" s="3" t="n">
        <f aca="false">C$3*(1-EXP(-C$4*$A26))^2</f>
        <v>1.19772565302525</v>
      </c>
    </row>
    <row r="27" customFormat="false" ht="15" hidden="false" customHeight="false" outlineLevel="0" collapsed="false">
      <c r="A27" s="1" t="n">
        <v>20</v>
      </c>
      <c r="B27" s="3" t="n">
        <f aca="false">B$3*(1-EXP(-B$4*$A27))^2</f>
        <v>39.9999998351077</v>
      </c>
      <c r="C27" s="3" t="n">
        <f aca="false">C$3*(1-EXP(-C$4*$A27))^2</f>
        <v>1.31434159518702</v>
      </c>
    </row>
    <row r="28" customFormat="false" ht="15" hidden="false" customHeight="false" outlineLevel="0" collapsed="false">
      <c r="A28" s="1" t="n">
        <v>21</v>
      </c>
      <c r="B28" s="3" t="n">
        <f aca="false">B$3*(1-EXP(-B$4*$A28))^2</f>
        <v>39.9999999393395</v>
      </c>
      <c r="C28" s="3" t="n">
        <f aca="false">C$3*(1-EXP(-C$4*$A28))^2</f>
        <v>1.4351331149873</v>
      </c>
    </row>
    <row r="29" customFormat="false" ht="15" hidden="false" customHeight="false" outlineLevel="0" collapsed="false">
      <c r="A29" s="1" t="n">
        <v>22</v>
      </c>
      <c r="B29" s="3" t="n">
        <f aca="false">B$3*(1-EXP(-B$4*$A29))^2</f>
        <v>39.9999999776843</v>
      </c>
      <c r="C29" s="3" t="n">
        <f aca="false">C$3*(1-EXP(-C$4*$A29))^2</f>
        <v>1.55995300632738</v>
      </c>
    </row>
    <row r="30" customFormat="false" ht="15" hidden="false" customHeight="false" outlineLevel="0" collapsed="false">
      <c r="A30" s="1" t="n">
        <v>23</v>
      </c>
      <c r="B30" s="3" t="n">
        <f aca="false">B$3*(1-EXP(-B$4*$A30))^2</f>
        <v>39.9999999917905</v>
      </c>
      <c r="C30" s="3" t="n">
        <f aca="false">C$3*(1-EXP(-C$4*$A30))^2</f>
        <v>1.68865762001032</v>
      </c>
    </row>
    <row r="31" customFormat="false" ht="15" hidden="false" customHeight="false" outlineLevel="0" collapsed="false">
      <c r="A31" s="1" t="n">
        <v>24</v>
      </c>
      <c r="B31" s="3" t="n">
        <f aca="false">B$3*(1-EXP(-B$4*$A31))^2</f>
        <v>39.9999999969799</v>
      </c>
      <c r="C31" s="3" t="n">
        <f aca="false">C$3*(1-EXP(-C$4*$A31))^2</f>
        <v>1.82110678692136</v>
      </c>
    </row>
    <row r="32" customFormat="false" ht="15" hidden="false" customHeight="false" outlineLevel="0" collapsed="false">
      <c r="A32" s="1" t="n">
        <v>25</v>
      </c>
      <c r="B32" s="3" t="n">
        <f aca="false">B$3*(1-EXP(-B$4*$A32))^2</f>
        <v>39.999999998889</v>
      </c>
      <c r="C32" s="3" t="n">
        <f aca="false">C$3*(1-EXP(-C$4*$A32))^2</f>
        <v>1.95716374279295</v>
      </c>
    </row>
    <row r="33" customFormat="false" ht="15" hidden="false" customHeight="false" outlineLevel="0" collapsed="false">
      <c r="A33" s="1" t="n">
        <v>26</v>
      </c>
      <c r="B33" s="3" t="n">
        <f aca="false">B$3*(1-EXP(-B$4*$A33))^2</f>
        <v>39.9999999995913</v>
      </c>
      <c r="C33" s="3" t="n">
        <f aca="false">C$3*(1-EXP(-C$4*$A33))^2</f>
        <v>2.09669505452247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857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2026-04-07T02:08:23Z</dcterms:created>
  <dc:creator>openpyxl</dc:creator>
  <dc:description/>
  <dc:language>en-US</dc:language>
  <cp:lastModifiedBy/>
  <dcterms:modified xsi:type="dcterms:W3CDTF">2026-07-15T11:58:21Z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