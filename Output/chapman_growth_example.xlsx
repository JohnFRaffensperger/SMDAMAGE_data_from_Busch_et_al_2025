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pma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<sst xmlns="http://schemas.openxmlformats.org/spreadsheetml/2006/main" count="3" uniqueCount="3">
  <si>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How does the Chapman growth function work?</t>
  </si>
  <si>
    <t xml:space="preserve">A</t>
  </si>
  <si>
    <t xml:space="preserve">k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</si>
</sst>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Chapman!$B$4:$B$30</c:f>
              <c:numCache>
                <c:formatCode>General</c:formatCode>
                <c:ptCount val="27"/>
                <c:pt idx="0">
                  <c:v>0.2</c:v>
                </c:pt>
                <c:pt idx="1">
                  <c:v>1.31434159518702</c:v>
                </c:pt>
                <c:pt idx="2">
                  <c:v>4.34755488183772</c:v>
                </c:pt>
                <c:pt idx="3">
                  <c:v>8.14283758896597</c:v>
                </c:pt>
                <c:pt idx="4">
                  <c:v>12.1295435904085</c:v>
                </c:pt>
                <c:pt idx="5">
                  <c:v>15.9830560357491</c:v>
                </c:pt>
                <c:pt idx="6">
                  <c:v>19.5331811786003</c:v>
                </c:pt>
                <c:pt idx="7">
                  <c:v>22.7046453896802</c:v>
                </c:pt>
                <c:pt idx="8">
                  <c:v>25.4787667195622</c:v>
                </c:pt>
                <c:pt idx="9">
                  <c:v>27.8690378401648</c:v>
                </c:pt>
                <c:pt idx="10">
                  <c:v>29.9058028966204</c:v>
                </c:pt>
                <c:pt idx="11">
                  <c:v>31.626840927136</c:v>
                </c:pt>
                <c:pt idx="12">
                  <c:v>33.0717536188078</c:v>
                </c:pt>
                <c:pt idx="13">
                  <c:v>34.2787763196837</c:v>
                </c:pt>
                <c:pt idx="14">
                  <c:v>35.2831095386419</c:v>
                </c:pt>
                <c:pt idx="15">
                  <c:v>36.1161846176375</c:v>
                </c:pt>
                <c:pt idx="16">
                  <c:v>36.8054859726577</c:v>
                </c:pt>
                <c:pt idx="17">
                  <c:v>37.3746894090877</c:v>
                </c:pt>
                <c:pt idx="18">
                  <c:v>37.8439656365517</c:v>
                </c:pt>
                <c:pt idx="19">
                  <c:v>38.2303563088444</c:v>
                </c:pt>
                <c:pt idx="20">
                  <c:v>38.5481673940174</c:v>
                </c:pt>
                <c:pt idx="21">
                  <c:v>38.8093485473289</c:v>
                </c:pt>
                <c:pt idx="22">
                  <c:v>39.0238421307584</c:v>
                </c:pt>
                <c:pt idx="23">
                  <c:v>39.1998947165028</c:v>
                </c:pt>
                <c:pt idx="24">
                  <c:v>39.344329385538</c:v>
                </c:pt>
                <c:pt idx="25">
                  <c:v>39.4627802372637</c:v>
                </c:pt>
                <c:pt idx="26">
                  <c:v>39.5598921456595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Chapman!$C$4:$C$30</c:f>
              <c:numCache>
                <c:formatCode>General</c:formatCode>
                <c:ptCount val="27"/>
                <c:pt idx="0">
                  <c:v>0.1</c:v>
                </c:pt>
                <c:pt idx="1">
                  <c:v>0.606764937360043</c:v>
                </c:pt>
                <c:pt idx="2">
                  <c:v>4.97242303935513</c:v>
                </c:pt>
                <c:pt idx="3">
                  <c:v>12.4118994425582</c:v>
                </c:pt>
                <c:pt idx="4">
                  <c:v>19.7505023406946</c:v>
                </c:pt>
                <c:pt idx="5">
                  <c:v>25.4569108611625</c:v>
                </c:pt>
                <c:pt idx="6">
                  <c:v>29.4600992999427</c:v>
                </c:pt>
                <c:pt idx="7">
                  <c:v>32.1654038936808</c:v>
                </c:pt>
                <c:pt idx="8">
                  <c:v>33.9850968854884</c:v>
                </c:pt>
                <c:pt idx="9">
                  <c:v>35.2229054164409</c:v>
                </c:pt>
                <c:pt idx="10">
                  <c:v>36.080374610919</c:v>
                </c:pt>
                <c:pt idx="11">
                  <c:v>36.6866507468586</c:v>
                </c:pt>
                <c:pt idx="12">
                  <c:v>37.1240822440535</c:v>
                </c:pt>
                <c:pt idx="13">
                  <c:v>37.4456749683432</c:v>
                </c:pt>
                <c:pt idx="14">
                  <c:v>37.6861109574727</c:v>
                </c:pt>
                <c:pt idx="15">
                  <c:v>37.8685295066025</c:v>
                </c:pt>
                <c:pt idx="16">
                  <c:v>38.0086887223511</c:v>
                </c:pt>
                <c:pt idx="17">
                  <c:v>38.1175406540663</c:v>
                </c:pt>
                <c:pt idx="18">
                  <c:v>38.2028469867573</c:v>
                </c:pt>
                <c:pt idx="19">
                  <c:v>38.2702097531847</c:v>
                </c:pt>
                <c:pt idx="20">
                  <c:v>38.323740716831</c:v>
                </c:pt>
                <c:pt idx="21">
                  <c:v>38.3665041045352</c:v>
                </c:pt>
                <c:pt idx="22">
                  <c:v>38.4008148013581</c:v>
                </c:pt>
                <c:pt idx="23">
                  <c:v>38.4284428020482</c:v>
                </c:pt>
                <c:pt idx="24">
                  <c:v>38.4507558286248</c:v>
                </c:pt>
                <c:pt idx="25">
                  <c:v>38.468820477177</c:v>
                </c:pt>
                <c:pt idx="26">
                  <c:v>38.4834750933703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286105"/>
        <c:axId val="25492126"/>
      </c:lineChart>
      <c:catAx>
        <c:axId val="4828610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5492126"/>
        <c:crosses val="autoZero"/>
        <c:auto val="1"/>
        <c:lblAlgn val="ctr"/>
        <c:lblOffset val="100"/>
        <c:noMultiLvlLbl val="0"/>
      </c:catAx>
      <c:valAx>
        <c:axId val="254921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82861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3960</xdr:colOff>
      <xdr:row>4</xdr:row>
      <xdr:rowOff>74160</xdr:rowOff>
    </xdr:from>
    <xdr:to>
      <xdr:col>13</xdr:col>
      <xdr:colOff>402480</xdr:colOff>
      <xdr:row>21</xdr:row>
      <xdr:rowOff>74880</xdr:rowOff>
    </xdr:to>
    <xdr:graphicFrame>
      <xdr:nvGraphicFramePr>
        <xdr:cNvPr id="1" name=""/>
        <xdr:cNvGraphicFramePr/>
      </xdr:nvGraphicFramePr>
      <xdr:xfrm>
        <a:off x="2386440" y="83628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tru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/>
    <row r="3" customFormat="false" ht="15" hidden="false" customHeight="false" outlineLevel="0" collapsed="false">
      <c r="A3" s="1" t="s">
        <v>1</v>
      </c>
      <c r="B3" s="1" t="n">
        <v>40</v>
      </c>
      <c r="C3" s="1" t="n">
        <v>40</v>
      </c>
    </row>
    <row r="4" customFormat="false" ht="15" hidden="false" customHeight="false" outlineLevel="0" collapsed="false">
      <c r="A4" s="1" t="s">
        <v>2</v>
      </c>
      <c r="B4" s="1" t="n">
        <v>0.2</v>
      </c>
      <c r="C4" s="1" t="n">
        <v>0.1</v>
      </c>
    </row>
    <row r="5" customFormat="false" ht="15" hidden="false" customHeight="false" outlineLevel="0" collapsed="false">
      <c r="A5" s="1" t="n">
        <v>1</v>
      </c>
      <c r="B5" s="1" t="n">
        <f aca="false">B$3*(1-EXP(-B$4*A5))^2</f>
        <v>1.31434159518702</v>
      </c>
      <c r="C5" s="1" t="n">
        <f aca="false">C$3*(1-EXP(-C$4*B5))^2</f>
        <v>0.606764937360043</v>
      </c>
    </row>
    <row r="6" customFormat="false" ht="15" hidden="false" customHeight="false" outlineLevel="0" collapsed="false">
      <c r="A6" s="1" t="n">
        <v>2</v>
      </c>
      <c r="B6" s="1" t="n">
        <f aca="false">$B$3*(1-EXP(-$B$4*A6))^2</f>
        <v>4.34755488183772</v>
      </c>
      <c r="C6" s="1" t="n">
        <f aca="false">C$3*(1-EXP(-C$4*B6))^2</f>
        <v>4.97242303935513</v>
      </c>
    </row>
    <row r="7" customFormat="false" ht="15" hidden="false" customHeight="false" outlineLevel="0" collapsed="false">
      <c r="A7" s="1" t="n">
        <v>3</v>
      </c>
      <c r="B7" s="1" t="n">
        <f aca="false">$B$3*(1-EXP(-$B$4*A7))^2</f>
        <v>8.14283758896597</v>
      </c>
      <c r="C7" s="1" t="n">
        <f aca="false">C$3*(1-EXP(-C$4*B7))^2</f>
        <v>12.4118994425582</v>
      </c>
    </row>
    <row r="8" customFormat="false" ht="15" hidden="false" customHeight="false" outlineLevel="0" collapsed="false">
      <c r="A8" s="1" t="n">
        <v>4</v>
      </c>
      <c r="B8" s="1" t="n">
        <f aca="false">$B$3*(1-EXP(-$B$4*A8))^2</f>
        <v>12.1295435904085</v>
      </c>
      <c r="C8" s="1" t="n">
        <f aca="false">C$3*(1-EXP(-C$4*B8))^2</f>
        <v>19.7505023406946</v>
      </c>
    </row>
    <row r="9" customFormat="false" ht="15" hidden="false" customHeight="false" outlineLevel="0" collapsed="false">
      <c r="A9" s="1" t="n">
        <v>5</v>
      </c>
      <c r="B9" s="1" t="n">
        <f aca="false">$B$3*(1-EXP(-$B$4*A9))^2</f>
        <v>15.9830560357491</v>
      </c>
      <c r="C9" s="1" t="n">
        <f aca="false">C$3*(1-EXP(-C$4*B9))^2</f>
        <v>25.4569108611625</v>
      </c>
    </row>
    <row r="10" customFormat="false" ht="15" hidden="false" customHeight="false" outlineLevel="0" collapsed="false">
      <c r="A10" s="1" t="n">
        <v>6</v>
      </c>
      <c r="B10" s="1" t="n">
        <f aca="false">$B$3*(1-EXP(-$B$4*A10))^2</f>
        <v>19.5331811786003</v>
      </c>
      <c r="C10" s="1" t="n">
        <f aca="false">C$3*(1-EXP(-C$4*B10))^2</f>
        <v>29.4600992999427</v>
      </c>
    </row>
    <row r="11" customFormat="false" ht="15" hidden="false" customHeight="false" outlineLevel="0" collapsed="false">
      <c r="A11" s="1" t="n">
        <v>7</v>
      </c>
      <c r="B11" s="1" t="n">
        <f aca="false">$B$3*(1-EXP(-$B$4*A11))^2</f>
        <v>22.7046453896802</v>
      </c>
      <c r="C11" s="1" t="n">
        <f aca="false">C$3*(1-EXP(-C$4*B11))^2</f>
        <v>32.1654038936808</v>
      </c>
    </row>
    <row r="12" customFormat="false" ht="15" hidden="false" customHeight="false" outlineLevel="0" collapsed="false">
      <c r="A12" s="1" t="n">
        <v>8</v>
      </c>
      <c r="B12" s="1" t="n">
        <f aca="false">$B$3*(1-EXP(-$B$4*A12))^2</f>
        <v>25.4787667195622</v>
      </c>
      <c r="C12" s="1" t="n">
        <f aca="false">C$3*(1-EXP(-C$4*B12))^2</f>
        <v>33.9850968854884</v>
      </c>
    </row>
    <row r="13" customFormat="false" ht="15" hidden="false" customHeight="false" outlineLevel="0" collapsed="false">
      <c r="A13" s="1" t="n">
        <v>9</v>
      </c>
      <c r="B13" s="1" t="n">
        <f aca="false">$B$3*(1-EXP(-$B$4*A13))^2</f>
        <v>27.8690378401648</v>
      </c>
      <c r="C13" s="1" t="n">
        <f aca="false">C$3*(1-EXP(-C$4*B13))^2</f>
        <v>35.2229054164409</v>
      </c>
    </row>
    <row r="14" customFormat="false" ht="15" hidden="false" customHeight="false" outlineLevel="0" collapsed="false">
      <c r="A14" s="1" t="n">
        <v>10</v>
      </c>
      <c r="B14" s="1" t="n">
        <f aca="false">$B$3*(1-EXP(-$B$4*A14))^2</f>
        <v>29.9058028966204</v>
      </c>
      <c r="C14" s="1" t="n">
        <f aca="false">C$3*(1-EXP(-C$4*B14))^2</f>
        <v>36.080374610919</v>
      </c>
    </row>
    <row r="15" customFormat="false" ht="15" hidden="false" customHeight="false" outlineLevel="0" collapsed="false">
      <c r="A15" s="1" t="n">
        <v>11</v>
      </c>
      <c r="B15" s="1" t="n">
        <f aca="false">$B$3*(1-EXP(-$B$4*A15))^2</f>
        <v>31.626840927136</v>
      </c>
      <c r="C15" s="1" t="n">
        <f aca="false">C$3*(1-EXP(-C$4*B15))^2</f>
        <v>36.6866507468586</v>
      </c>
    </row>
    <row r="16" customFormat="false" ht="15" hidden="false" customHeight="false" outlineLevel="0" collapsed="false">
      <c r="A16" s="1" t="n">
        <v>12</v>
      </c>
      <c r="B16" s="1" t="n">
        <f aca="false">$B$3*(1-EXP(-$B$4*A16))^2</f>
        <v>33.0717536188078</v>
      </c>
      <c r="C16" s="1" t="n">
        <f aca="false">C$3*(1-EXP(-C$4*B16))^2</f>
        <v>37.1240822440535</v>
      </c>
    </row>
    <row r="17" customFormat="false" ht="15" hidden="false" customHeight="false" outlineLevel="0" collapsed="false">
      <c r="A17" s="1" t="n">
        <v>13</v>
      </c>
      <c r="B17" s="1" t="n">
        <f aca="false">$B$3*(1-EXP(-$B$4*A17))^2</f>
        <v>34.2787763196837</v>
      </c>
      <c r="C17" s="1" t="n">
        <f aca="false">C$3*(1-EXP(-C$4*B17))^2</f>
        <v>37.4456749683432</v>
      </c>
    </row>
    <row r="18" customFormat="false" ht="15" hidden="false" customHeight="false" outlineLevel="0" collapsed="false">
      <c r="A18" s="1" t="n">
        <v>14</v>
      </c>
      <c r="B18" s="1" t="n">
        <f aca="false">$B$3*(1-EXP(-$B$4*A18))^2</f>
        <v>35.2831095386419</v>
      </c>
      <c r="C18" s="1" t="n">
        <f aca="false">C$3*(1-EXP(-C$4*B18))^2</f>
        <v>37.6861109574727</v>
      </c>
    </row>
    <row r="19" customFormat="false" ht="15" hidden="false" customHeight="false" outlineLevel="0" collapsed="false">
      <c r="A19" s="1" t="n">
        <v>15</v>
      </c>
      <c r="B19" s="1" t="n">
        <f aca="false">$B$3*(1-EXP(-$B$4*A19))^2</f>
        <v>36.1161846176375</v>
      </c>
      <c r="C19" s="1" t="n">
        <f aca="false">C$3*(1-EXP(-C$4*B19))^2</f>
        <v>37.8685295066025</v>
      </c>
    </row>
    <row r="20" customFormat="false" ht="15" hidden="false" customHeight="false" outlineLevel="0" collapsed="false">
      <c r="A20" s="1" t="n">
        <v>16</v>
      </c>
      <c r="B20" s="1" t="n">
        <f aca="false">$B$3*(1-EXP(-$B$4*A20))^2</f>
        <v>36.8054859726577</v>
      </c>
      <c r="C20" s="1" t="n">
        <f aca="false">C$3*(1-EXP(-C$4*B20))^2</f>
        <v>38.0086887223511</v>
      </c>
    </row>
    <row r="21" customFormat="false" ht="15" hidden="false" customHeight="false" outlineLevel="0" collapsed="false">
      <c r="A21" s="1" t="n">
        <v>17</v>
      </c>
      <c r="B21" s="1" t="n">
        <f aca="false">$B$3*(1-EXP(-$B$4*A21))^2</f>
        <v>37.3746894090877</v>
      </c>
      <c r="C21" s="1" t="n">
        <f aca="false">C$3*(1-EXP(-C$4*B21))^2</f>
        <v>38.1175406540663</v>
      </c>
    </row>
    <row r="22" customFormat="false" ht="15" hidden="false" customHeight="false" outlineLevel="0" collapsed="false">
      <c r="A22" s="1" t="n">
        <v>18</v>
      </c>
      <c r="B22" s="1" t="n">
        <f aca="false">$B$3*(1-EXP(-$B$4*A22))^2</f>
        <v>37.8439656365517</v>
      </c>
      <c r="C22" s="1" t="n">
        <f aca="false">C$3*(1-EXP(-C$4*B22))^2</f>
        <v>38.2028469867573</v>
      </c>
    </row>
    <row r="23" customFormat="false" ht="15" hidden="false" customHeight="false" outlineLevel="0" collapsed="false">
      <c r="A23" s="1" t="n">
        <v>19</v>
      </c>
      <c r="B23" s="1" t="n">
        <f aca="false">$B$3*(1-EXP(-$B$4*A23))^2</f>
        <v>38.2303563088444</v>
      </c>
      <c r="C23" s="1" t="n">
        <f aca="false">C$3*(1-EXP(-C$4*B23))^2</f>
        <v>38.2702097531847</v>
      </c>
    </row>
    <row r="24" customFormat="false" ht="15" hidden="false" customHeight="false" outlineLevel="0" collapsed="false">
      <c r="A24" s="1" t="n">
        <v>20</v>
      </c>
      <c r="B24" s="1" t="n">
        <f aca="false">$B$3*(1-EXP(-$B$4*A24))^2</f>
        <v>38.5481673940174</v>
      </c>
      <c r="C24" s="1" t="n">
        <f aca="false">C$3*(1-EXP(-C$4*B24))^2</f>
        <v>38.323740716831</v>
      </c>
    </row>
    <row r="25" customFormat="false" ht="15" hidden="false" customHeight="false" outlineLevel="0" collapsed="false">
      <c r="A25" s="1" t="n">
        <v>21</v>
      </c>
      <c r="B25" s="1" t="n">
        <f aca="false">$B$3*(1-EXP(-$B$4*A25))^2</f>
        <v>38.8093485473289</v>
      </c>
      <c r="C25" s="1" t="n">
        <f aca="false">C$3*(1-EXP(-C$4*B25))^2</f>
        <v>38.3665041045352</v>
      </c>
    </row>
    <row r="26" customFormat="false" ht="15" hidden="false" customHeight="false" outlineLevel="0" collapsed="false">
      <c r="A26" s="1" t="n">
        <v>22</v>
      </c>
      <c r="B26" s="1" t="n">
        <f aca="false">$B$3*(1-EXP(-$B$4*A26))^2</f>
        <v>39.0238421307584</v>
      </c>
      <c r="C26" s="1" t="n">
        <f aca="false">C$3*(1-EXP(-C$4*B26))^2</f>
        <v>38.4008148013581</v>
      </c>
    </row>
    <row r="27" customFormat="false" ht="15" hidden="false" customHeight="false" outlineLevel="0" collapsed="false">
      <c r="A27" s="1" t="n">
        <v>23</v>
      </c>
      <c r="B27" s="1" t="n">
        <f aca="false">$B$3*(1-EXP(-$B$4*A27))^2</f>
        <v>39.1998947165028</v>
      </c>
      <c r="C27" s="1" t="n">
        <f aca="false">C$3*(1-EXP(-C$4*B27))^2</f>
        <v>38.4284428020482</v>
      </c>
    </row>
    <row r="28" customFormat="false" ht="15" hidden="false" customHeight="false" outlineLevel="0" collapsed="false">
      <c r="A28" s="1" t="n">
        <v>24</v>
      </c>
      <c r="B28" s="1" t="n">
        <f aca="false">$B$3*(1-EXP(-$B$4*A28))^2</f>
        <v>39.344329385538</v>
      </c>
      <c r="C28" s="1" t="n">
        <f aca="false">C$3*(1-EXP(-C$4*B28))^2</f>
        <v>38.4507558286248</v>
      </c>
    </row>
    <row r="29" customFormat="false" ht="15" hidden="false" customHeight="false" outlineLevel="0" collapsed="false">
      <c r="A29" s="1" t="n">
        <v>25</v>
      </c>
      <c r="B29" s="1" t="n">
        <f aca="false">$B$3*(1-EXP(-$B$4*A29))^2</f>
        <v>39.4627802372637</v>
      </c>
      <c r="C29" s="1" t="n">
        <f aca="false">C$3*(1-EXP(-C$4*B29))^2</f>
        <v>38.468820477177</v>
      </c>
    </row>
    <row r="30" customFormat="false" ht="15" hidden="false" customHeight="false" outlineLevel="0" collapsed="false">
      <c r="A30" s="1" t="n">
        <v>26</v>
      </c>
      <c r="B30" s="1" t="n">
        <f aca="false">$B$3*(1-EXP(-$B$4*A30))^2</f>
        <v>39.5598921456595</v>
      </c>
      <c r="C30" s="1" t="n">
        <f aca="false">C$3*(1-EXP(-C$4*B30))^2</f>
        <v>38.4834750933703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2026-04-07T02:08:23Z</dcterms:created>
  <dc:creator>openpyxl</dc:creator>
  <dc:description/>
  <dc:language>en-US</dc:language>
  <cp:lastModifiedBy/>
  <dcterms:modified xsi:type="dcterms:W3CDTF">2026-06-13T16:05:58Z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